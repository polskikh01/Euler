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мусор\помока 3.2 курса\"/>
    </mc:Choice>
  </mc:AlternateContent>
  <xr:revisionPtr revIDLastSave="0" documentId="13_ncr:1_{1F486BC8-D045-416B-8F8B-26F85C0A53AD}" xr6:coauthVersionLast="46" xr6:coauthVersionMax="46" xr10:uidLastSave="{00000000-0000-0000-0000-000000000000}"/>
  <bookViews>
    <workbookView xWindow="-7548" yWindow="1620" windowWidth="15360" windowHeight="8964" activeTab="1" xr2:uid="{AD0DD86C-214F-4EE5-9794-A93911A70C56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C5" i="2" s="1"/>
  <c r="C6" i="2" s="1"/>
  <c r="C7" i="2" s="1"/>
  <c r="C8" i="2" s="1"/>
  <c r="C9" i="2" s="1"/>
  <c r="C10" i="2" s="1"/>
  <c r="C11" i="2" s="1"/>
  <c r="C12" i="2" s="1"/>
  <c r="C3" i="2"/>
  <c r="D7" i="1"/>
  <c r="D6" i="1"/>
  <c r="B3" i="2"/>
  <c r="A4" i="2"/>
  <c r="A5" i="2" s="1"/>
  <c r="A6" i="2" s="1"/>
  <c r="A7" i="2" s="1"/>
  <c r="A8" i="2" s="1"/>
  <c r="A9" i="2" s="1"/>
  <c r="A10" i="2" s="1"/>
  <c r="A11" i="2" s="1"/>
  <c r="A12" i="2" s="1"/>
  <c r="A3" i="2"/>
  <c r="E4" i="2"/>
  <c r="E3" i="2"/>
  <c r="E2" i="2"/>
  <c r="F2" i="2" s="1"/>
  <c r="B4" i="2" l="1"/>
  <c r="B5" i="2" s="1"/>
  <c r="F3" i="2"/>
  <c r="E6" i="2"/>
  <c r="E5" i="2"/>
  <c r="B6" i="2" l="1"/>
  <c r="F5" i="2"/>
  <c r="F6" i="2"/>
  <c r="E7" i="2"/>
  <c r="F4" i="2"/>
  <c r="B7" i="2" l="1"/>
  <c r="B8" i="2" s="1"/>
  <c r="B9" i="2" s="1"/>
  <c r="E8" i="2"/>
  <c r="F8" i="2" s="1"/>
  <c r="B10" i="2" l="1"/>
  <c r="F7" i="2"/>
  <c r="E9" i="2"/>
  <c r="F9" i="2" s="1"/>
  <c r="B11" i="2" l="1"/>
  <c r="E10" i="2"/>
  <c r="F10" i="2" s="1"/>
  <c r="B12" i="2" l="1"/>
  <c r="E12" i="2"/>
  <c r="E11" i="2"/>
  <c r="F11" i="2" s="1"/>
  <c r="F12" i="2" l="1"/>
  <c r="E7" i="1"/>
  <c r="E6" i="1"/>
  <c r="C7" i="1" s="1"/>
  <c r="C6" i="1"/>
  <c r="C8" i="1" l="1"/>
  <c r="D8" i="1" s="1"/>
  <c r="E8" i="1" s="1"/>
  <c r="C9" i="1" s="1"/>
  <c r="D9" i="1" l="1"/>
  <c r="E9" i="1" s="1"/>
  <c r="C10" i="1" s="1"/>
  <c r="D10" i="1" l="1"/>
  <c r="E10" i="1" s="1"/>
  <c r="C11" i="1" s="1"/>
  <c r="D11" i="1" l="1"/>
  <c r="E11" i="1" s="1"/>
  <c r="C12" i="1" s="1"/>
  <c r="D12" i="1" l="1"/>
  <c r="E12" i="1" s="1"/>
  <c r="C13" i="1" s="1"/>
  <c r="D13" i="1" l="1"/>
  <c r="E13" i="1" s="1"/>
  <c r="C14" i="1" s="1"/>
  <c r="D14" i="1" l="1"/>
  <c r="E14" i="1" s="1"/>
  <c r="C15" i="1" s="1"/>
  <c r="D15" i="1" l="1"/>
  <c r="E15" i="1" s="1"/>
  <c r="C16" i="1" s="1"/>
  <c r="D16" i="1" s="1"/>
  <c r="E16" i="1" s="1"/>
</calcChain>
</file>

<file path=xl/sharedStrings.xml><?xml version="1.0" encoding="utf-8"?>
<sst xmlns="http://schemas.openxmlformats.org/spreadsheetml/2006/main" count="20" uniqueCount="20">
  <si>
    <t>ОДУ первого порядка</t>
  </si>
  <si>
    <t>a</t>
  </si>
  <si>
    <t>b</t>
  </si>
  <si>
    <t>f(x,y)</t>
  </si>
  <si>
    <t>y0</t>
  </si>
  <si>
    <t>y0=1/4</t>
  </si>
  <si>
    <t>2y+e^x-x</t>
  </si>
  <si>
    <t>y=(e^x-x)/2</t>
  </si>
  <si>
    <t>i</t>
  </si>
  <si>
    <t>xi</t>
  </si>
  <si>
    <t>yi</t>
  </si>
  <si>
    <t>hf(xi,yi)</t>
  </si>
  <si>
    <t>f(xi;yi)</t>
  </si>
  <si>
    <t>y'=-(e^x/2)-1/2</t>
  </si>
  <si>
    <t>x</t>
  </si>
  <si>
    <t>y</t>
  </si>
  <si>
    <t>dy</t>
  </si>
  <si>
    <t>Шаг</t>
  </si>
  <si>
    <t>Точные значения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</si>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</sst>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#,##0.0000"/>
    <numFmt numFmtId="166" formatCode="#,##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Лист1!$B$6:$B$16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Лист1!$C$6:$C$16</c:f>
              <c:numCache>
                <c:formatCode>General</c:formatCode>
                <c:ptCount val="11"/>
                <c:pt idx="0">
                  <c:v>0.25</c:v>
                </c:pt>
                <c:pt idx="1">
                  <c:v>0.4</c:v>
                </c:pt>
                <c:pt idx="2" formatCode="0.000000">
                  <c:v>0.58051709180756483</c:v>
                </c:pt>
                <c:pt idx="3" formatCode="0.000000">
                  <c:v>0.79876078598509481</c:v>
                </c:pt>
                <c:pt idx="4" formatCode="0.000000">
                  <c:v>1.0634988239397141</c:v>
                </c:pt>
                <c:pt idx="5" formatCode="0.000000">
                  <c:v>1.3853810584917841</c:v>
                </c:pt>
                <c:pt idx="6" formatCode="0.000000">
                  <c:v>1.7773293972601536</c:v>
                </c:pt>
                <c:pt idx="7" formatCode="0.000000">
                  <c:v>2.2550071567512351</c:v>
                </c:pt>
                <c:pt idx="8" formatCode="0.000000">
                  <c:v>2.8373838588485301</c:v>
                </c:pt>
                <c:pt idx="9" formatCode="0.000000">
                  <c:v>3.5474147234674831</c:v>
                </c:pt>
                <c:pt idx="10" formatCode="0.000000">
                  <c:v>4.4128579792766747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1-4FCB-B7D9-83624EDA2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244879"/>
        <c:axId val="1839241967"/>
      </c:scatterChart>
      <c:valAx>
        <c:axId val="183924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9241967"/>
        <c:crosses val="autoZero"/>
        <c:crossBetween val="midCat"/>
      </c:valAx>
      <c:valAx>
        <c:axId val="183924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924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Лист2!$A$2:$A$12</c:f>
              <c:numCache>
                <c:formatCode>#\ ##0.000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Лист2!$B$2:$B$12</c:f>
              <c:numCache>
                <c:formatCode>#\ ##0.000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1.1900000000000002</c:v>
                </c:pt>
                <c:pt idx="3">
                  <c:v>1.2710000000000001</c:v>
                </c:pt>
                <c:pt idx="4">
                  <c:v>1.3441000000000001</c:v>
                </c:pt>
                <c:pt idx="5">
                  <c:v>1.4105100000000002</c:v>
                </c:pt>
                <c:pt idx="6">
                  <c:v>1.4715610000000001</c:v>
                </c:pt>
                <c:pt idx="7">
                  <c:v>1.5287171000000002</c:v>
                </c:pt>
                <c:pt idx="8">
                  <c:v>1.5835888100000002</c:v>
                </c:pt>
                <c:pt idx="9">
                  <c:v>1.6379476910000001</c:v>
                </c:pt>
                <c:pt idx="10">
                  <c:v>1.6937424601000002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9-44F7-8766-AA6A29DF6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230320"/>
        <c:axId val="1507233232"/>
      </c:scatterChart>
      <c:valAx>
        <c:axId val="150723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7233232"/>
        <c:crosses val="autoZero"/>
        <c:crossBetween val="midCat"/>
      </c:valAx>
      <c:valAx>
        <c:axId val="150723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723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1</xdr:row>
      <xdr:rowOff>22860</xdr:rowOff>
    </xdr:from>
    <xdr:to>
      <xdr:col>13</xdr:col>
      <xdr:colOff>335280</xdr:colOff>
      <xdr:row>16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C529021-10DF-4B8B-91C0-043581CEF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594360</xdr:colOff>
      <xdr:row>1</xdr:row>
      <xdr:rowOff>30480</xdr:rowOff>
    </xdr:from>
    <xdr:to>
      <xdr:col>15</xdr:col>
      <xdr:colOff>289560</xdr:colOff>
      <xdr:row>16</xdr:row>
      <xdr:rowOff>30480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E6889CB-51E2-401C-B426-101606452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ABD0-093E-4216-A701-16742139519B}">
  <dimension ref="A1:I19"/>
  <sheetViews>
    <sheetView workbookViewId="0">
      <selection activeCell="C8" sqref="C8"/>
    </sheetView>
  </sheetViews>
  <sheetFormatPr defaultRowHeight="14.4" x14ac:dyDescent="0.3"/>
  <cols>
    <col min="1" max="1" width="14.21875" customWidth="1"/>
    <col min="4" max="4" width="9.109375" bestFit="1" customWidth="1"/>
  </cols>
  <sheetData>
    <row r="1" spans="1:5" x14ac:dyDescent="0.3">
      <c r="A1" t="s">
        <v>3</v>
      </c>
      <c r="B1" t="s">
        <v>1</v>
      </c>
      <c r="C1" t="s">
        <v>2</v>
      </c>
      <c r="D1" t="s">
        <v>4</v>
      </c>
      <c r="E1" t="s">
        <v>0</v>
      </c>
    </row>
    <row r="2" spans="1:5" x14ac:dyDescent="0.3">
      <c r="A2" t="s">
        <v>6</v>
      </c>
      <c r="B2">
        <v>0</v>
      </c>
      <c r="C2">
        <v>1</v>
      </c>
      <c r="D2" s="1" t="s">
        <v>5</v>
      </c>
    </row>
    <row r="3" spans="1:5" x14ac:dyDescent="0.3">
      <c r="A3" t="s">
        <v>7</v>
      </c>
    </row>
    <row r="4" spans="1:5" x14ac:dyDescent="0.3">
      <c r="A4" t="s">
        <v>13</v>
      </c>
    </row>
    <row r="5" spans="1:5" x14ac:dyDescent="0.3">
      <c r="A5" t="s">
        <v>8</v>
      </c>
      <c r="B5" t="s">
        <v>9</v>
      </c>
      <c r="C5" t="s">
        <v>10</v>
      </c>
      <c r="D5" t="s">
        <v>12</v>
      </c>
      <c r="E5" t="s">
        <v>11</v>
      </c>
    </row>
    <row r="6" spans="1:5" x14ac:dyDescent="0.3">
      <c r="A6">
        <v>0</v>
      </c>
      <c r="B6">
        <v>0</v>
      </c>
      <c r="C6">
        <f>0.25</f>
        <v>0.25</v>
      </c>
      <c r="D6">
        <f>2*C6+EXP(B6)-B6</f>
        <v>1.5</v>
      </c>
      <c r="E6">
        <f>D6*0.1</f>
        <v>0.15000000000000002</v>
      </c>
    </row>
    <row r="7" spans="1:5" x14ac:dyDescent="0.3">
      <c r="A7">
        <v>1</v>
      </c>
      <c r="B7">
        <v>0.1</v>
      </c>
      <c r="C7">
        <f>C6+E6</f>
        <v>0.4</v>
      </c>
      <c r="D7">
        <f t="shared" ref="D7:D16" si="0">2*C7+EXP(B7)-B7</f>
        <v>1.8051709180756477</v>
      </c>
      <c r="E7">
        <f>D7*0.1</f>
        <v>0.18051709180756478</v>
      </c>
    </row>
    <row r="8" spans="1:5" x14ac:dyDescent="0.3">
      <c r="A8">
        <v>2</v>
      </c>
      <c r="B8">
        <v>0.2</v>
      </c>
      <c r="C8" s="2">
        <f t="shared" ref="C8:C16" si="1">C7+E7</f>
        <v>0.58051709180756483</v>
      </c>
      <c r="D8">
        <f t="shared" si="0"/>
        <v>2.1824369417752996</v>
      </c>
      <c r="E8" s="2">
        <f t="shared" ref="E8:E16" si="2">D8*0.1</f>
        <v>0.21824369417752998</v>
      </c>
    </row>
    <row r="9" spans="1:5" x14ac:dyDescent="0.3">
      <c r="A9">
        <v>3</v>
      </c>
      <c r="B9">
        <v>0.3</v>
      </c>
      <c r="C9" s="2">
        <f t="shared" si="1"/>
        <v>0.79876078598509481</v>
      </c>
      <c r="D9">
        <f t="shared" si="0"/>
        <v>2.6473803795461928</v>
      </c>
      <c r="E9" s="2">
        <f t="shared" si="2"/>
        <v>0.26473803795461931</v>
      </c>
    </row>
    <row r="10" spans="1:5" x14ac:dyDescent="0.3">
      <c r="A10">
        <v>4</v>
      </c>
      <c r="B10">
        <v>0.4</v>
      </c>
      <c r="C10" s="2">
        <f t="shared" si="1"/>
        <v>1.0634988239397141</v>
      </c>
      <c r="D10">
        <f t="shared" si="0"/>
        <v>3.2188223455206986</v>
      </c>
      <c r="E10" s="2">
        <f t="shared" si="2"/>
        <v>0.32188223455206988</v>
      </c>
    </row>
    <row r="11" spans="1:5" x14ac:dyDescent="0.3">
      <c r="A11">
        <v>5</v>
      </c>
      <c r="B11">
        <v>0.5</v>
      </c>
      <c r="C11" s="2">
        <f t="shared" si="1"/>
        <v>1.3853810584917841</v>
      </c>
      <c r="D11">
        <f t="shared" si="0"/>
        <v>3.9194833876836963</v>
      </c>
      <c r="E11" s="2">
        <f t="shared" si="2"/>
        <v>0.39194833876836965</v>
      </c>
    </row>
    <row r="12" spans="1:5" x14ac:dyDescent="0.3">
      <c r="A12">
        <v>6</v>
      </c>
      <c r="B12">
        <v>0.6</v>
      </c>
      <c r="C12" s="2">
        <f t="shared" si="1"/>
        <v>1.7773293972601536</v>
      </c>
      <c r="D12">
        <f t="shared" si="0"/>
        <v>4.7767775949108167</v>
      </c>
      <c r="E12" s="2">
        <f t="shared" si="2"/>
        <v>0.47767775949108171</v>
      </c>
    </row>
    <row r="13" spans="1:5" x14ac:dyDescent="0.3">
      <c r="A13">
        <v>7</v>
      </c>
      <c r="B13">
        <v>0.7</v>
      </c>
      <c r="C13" s="2">
        <f t="shared" si="1"/>
        <v>2.2550071567512351</v>
      </c>
      <c r="D13">
        <f t="shared" si="0"/>
        <v>5.8237670209729471</v>
      </c>
      <c r="E13" s="2">
        <f t="shared" si="2"/>
        <v>0.58237670209729475</v>
      </c>
    </row>
    <row r="14" spans="1:5" x14ac:dyDescent="0.3">
      <c r="A14">
        <v>8</v>
      </c>
      <c r="B14">
        <v>0.8</v>
      </c>
      <c r="C14" s="2">
        <f t="shared" si="1"/>
        <v>2.8373838588485301</v>
      </c>
      <c r="D14">
        <f t="shared" si="0"/>
        <v>7.1003086461895277</v>
      </c>
      <c r="E14" s="2">
        <f t="shared" si="2"/>
        <v>0.71003086461895282</v>
      </c>
    </row>
    <row r="15" spans="1:5" x14ac:dyDescent="0.3">
      <c r="A15">
        <v>9</v>
      </c>
      <c r="B15">
        <v>0.9</v>
      </c>
      <c r="C15" s="2">
        <f t="shared" si="1"/>
        <v>3.5474147234674831</v>
      </c>
      <c r="D15">
        <f t="shared" si="0"/>
        <v>8.6544325580919157</v>
      </c>
      <c r="E15" s="2">
        <f t="shared" si="2"/>
        <v>0.86544325580919157</v>
      </c>
    </row>
    <row r="16" spans="1:5" x14ac:dyDescent="0.3">
      <c r="A16">
        <v>10</v>
      </c>
      <c r="B16">
        <v>1</v>
      </c>
      <c r="C16" s="2">
        <f t="shared" si="1"/>
        <v>4.4128579792766747</v>
      </c>
      <c r="D16">
        <f t="shared" si="0"/>
        <v>10.543997787012394</v>
      </c>
      <c r="E16" s="2">
        <f t="shared" si="2"/>
        <v>1.0543997787012394</v>
      </c>
    </row>
    <row r="19" spans="3:9" x14ac:dyDescent="0.3">
      <c r="C19" s="5"/>
      <c r="D19" s="5"/>
      <c r="E19" s="5"/>
      <c r="F19" s="5"/>
      <c r="G19" s="5"/>
      <c r="H19" s="5"/>
      <c r="I19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483B-01B0-4B45-A33C-DFFEB722CD78}">
  <dimension ref="A1:F12"/>
  <sheetViews>
    <sheetView tabSelected="1" workbookViewId="0">
      <selection activeCell="C3" sqref="C3"/>
    </sheetView>
  </sheetViews>
  <sheetFormatPr defaultRowHeight="14.4" x14ac:dyDescent="0.3"/>
  <cols>
    <col min="3" max="3" width="8.88671875" customWidth="1"/>
    <col min="5" max="5" width="18.21875" customWidth="1"/>
  </cols>
  <sheetData>
    <row r="1" spans="1:6" x14ac:dyDescent="0.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</row>
    <row r="2" spans="1:6" x14ac:dyDescent="0.3">
      <c r="A2" s="4">
        <v>0</v>
      </c>
      <c r="B2" s="4">
        <v>1</v>
      </c>
      <c r="C2" s="4">
        <v>1</v>
      </c>
      <c r="D2" s="4">
        <v>0.1</v>
      </c>
      <c r="E2" s="4">
        <f>(A2*A2+EXP(A2))</f>
        <v>1</v>
      </c>
      <c r="F2" s="4">
        <f t="shared" ref="F2:F11" si="0">E2 - B2</f>
        <v>0</v>
      </c>
    </row>
    <row r="3" spans="1:6" x14ac:dyDescent="0.3">
      <c r="A3" s="4">
        <f>A2 + $D$2</f>
        <v>0.1</v>
      </c>
      <c r="B3" s="4">
        <f>B2 + $D$2 * C2</f>
        <v>1.1000000000000001</v>
      </c>
      <c r="C3" s="4">
        <f>C2 + $D$2 * (C2+2*A2-2)</f>
        <v>0.9</v>
      </c>
      <c r="D3" s="4"/>
      <c r="E3" s="4">
        <f t="shared" ref="E3:E12" si="1">(A3*A3+EXP(A3))</f>
        <v>1.1151709180756477</v>
      </c>
      <c r="F3" s="4">
        <f t="shared" si="0"/>
        <v>1.5170918075647633E-2</v>
      </c>
    </row>
    <row r="4" spans="1:6" x14ac:dyDescent="0.3">
      <c r="A4" s="4">
        <f t="shared" ref="A4:A12" si="2">A3 + $D$2</f>
        <v>0.2</v>
      </c>
      <c r="B4" s="4">
        <f t="shared" ref="B4:B12" si="3">B3 + $D$2 * C3</f>
        <v>1.1900000000000002</v>
      </c>
      <c r="C4" s="4">
        <f t="shared" ref="C4:C12" si="4">C3 + $D$2 * (C3+2*A3-2)</f>
        <v>0.81</v>
      </c>
      <c r="D4" s="4"/>
      <c r="E4" s="4">
        <f t="shared" si="1"/>
        <v>1.2614027581601699</v>
      </c>
      <c r="F4" s="4">
        <f t="shared" si="0"/>
        <v>7.1402758160169721E-2</v>
      </c>
    </row>
    <row r="5" spans="1:6" x14ac:dyDescent="0.3">
      <c r="A5" s="4">
        <f t="shared" si="2"/>
        <v>0.30000000000000004</v>
      </c>
      <c r="B5" s="4">
        <f t="shared" si="3"/>
        <v>1.2710000000000001</v>
      </c>
      <c r="C5" s="4">
        <f t="shared" si="4"/>
        <v>0.73100000000000009</v>
      </c>
      <c r="D5" s="4"/>
      <c r="E5" s="4">
        <f t="shared" si="1"/>
        <v>1.4398588075760033</v>
      </c>
      <c r="F5" s="4">
        <f t="shared" si="0"/>
        <v>0.16885880757600313</v>
      </c>
    </row>
    <row r="6" spans="1:6" x14ac:dyDescent="0.3">
      <c r="A6" s="4">
        <f t="shared" si="2"/>
        <v>0.4</v>
      </c>
      <c r="B6" s="4">
        <f t="shared" si="3"/>
        <v>1.3441000000000001</v>
      </c>
      <c r="C6" s="4">
        <f t="shared" si="4"/>
        <v>0.66410000000000013</v>
      </c>
      <c r="D6" s="4"/>
      <c r="E6" s="4">
        <f t="shared" si="1"/>
        <v>1.6518246976412705</v>
      </c>
      <c r="F6" s="4">
        <f t="shared" si="0"/>
        <v>0.30772469764127042</v>
      </c>
    </row>
    <row r="7" spans="1:6" x14ac:dyDescent="0.3">
      <c r="A7" s="4">
        <f t="shared" si="2"/>
        <v>0.5</v>
      </c>
      <c r="B7" s="4">
        <f t="shared" si="3"/>
        <v>1.4105100000000002</v>
      </c>
      <c r="C7" s="4">
        <f t="shared" si="4"/>
        <v>0.61051000000000011</v>
      </c>
      <c r="D7" s="4"/>
      <c r="E7" s="4">
        <f t="shared" si="1"/>
        <v>1.8987212707001282</v>
      </c>
      <c r="F7" s="4">
        <f t="shared" si="0"/>
        <v>0.48821127070012804</v>
      </c>
    </row>
    <row r="8" spans="1:6" x14ac:dyDescent="0.3">
      <c r="A8" s="4">
        <f t="shared" si="2"/>
        <v>0.6</v>
      </c>
      <c r="B8" s="4">
        <f t="shared" si="3"/>
        <v>1.4715610000000001</v>
      </c>
      <c r="C8" s="4">
        <f t="shared" si="4"/>
        <v>0.5715610000000001</v>
      </c>
      <c r="D8" s="4"/>
      <c r="E8" s="4">
        <f t="shared" si="1"/>
        <v>2.182118800390509</v>
      </c>
      <c r="F8" s="4">
        <f t="shared" si="0"/>
        <v>0.71055780039050886</v>
      </c>
    </row>
    <row r="9" spans="1:6" x14ac:dyDescent="0.3">
      <c r="A9" s="4">
        <f t="shared" si="2"/>
        <v>0.7</v>
      </c>
      <c r="B9" s="4">
        <f t="shared" si="3"/>
        <v>1.5287171000000002</v>
      </c>
      <c r="C9" s="4">
        <f t="shared" si="4"/>
        <v>0.54871710000000007</v>
      </c>
      <c r="D9" s="4"/>
      <c r="E9" s="4">
        <f t="shared" si="1"/>
        <v>2.5037527074704764</v>
      </c>
      <c r="F9" s="4">
        <f t="shared" si="0"/>
        <v>0.97503560747047624</v>
      </c>
    </row>
    <row r="10" spans="1:6" x14ac:dyDescent="0.3">
      <c r="A10" s="4">
        <f t="shared" si="2"/>
        <v>0.79999999999999993</v>
      </c>
      <c r="B10" s="4">
        <f t="shared" si="3"/>
        <v>1.5835888100000002</v>
      </c>
      <c r="C10" s="4">
        <f t="shared" si="4"/>
        <v>0.54358881000000003</v>
      </c>
      <c r="D10" s="4"/>
      <c r="E10" s="4">
        <f t="shared" si="1"/>
        <v>2.8655409284924671</v>
      </c>
      <c r="F10" s="4">
        <f t="shared" si="0"/>
        <v>1.2819521184924669</v>
      </c>
    </row>
    <row r="11" spans="1:6" x14ac:dyDescent="0.3">
      <c r="A11" s="4">
        <f t="shared" si="2"/>
        <v>0.89999999999999991</v>
      </c>
      <c r="B11" s="4">
        <f t="shared" si="3"/>
        <v>1.6379476910000001</v>
      </c>
      <c r="C11" s="4">
        <f t="shared" si="4"/>
        <v>0.55794769099999997</v>
      </c>
      <c r="D11" s="4"/>
      <c r="E11" s="4">
        <f t="shared" si="1"/>
        <v>3.2696031111569495</v>
      </c>
      <c r="F11" s="4">
        <f t="shared" si="0"/>
        <v>1.6316554201569493</v>
      </c>
    </row>
    <row r="12" spans="1:6" x14ac:dyDescent="0.3">
      <c r="A12" s="4">
        <f t="shared" si="2"/>
        <v>0.99999999999999989</v>
      </c>
      <c r="B12" s="4">
        <f t="shared" si="3"/>
        <v>1.6937424601000002</v>
      </c>
      <c r="C12" s="4">
        <f t="shared" si="4"/>
        <v>0.59374246009999998</v>
      </c>
      <c r="D12" s="4"/>
      <c r="E12" s="4">
        <f t="shared" si="1"/>
        <v>3.7182818284590446</v>
      </c>
      <c r="F12" s="4">
        <f>E12 - B12</f>
        <v>2.0245393683590445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2021-02-20T06:04:44Z</dcterms:created>
  <dcterms:modified xsi:type="dcterms:W3CDTF">2021-03-20T13:52:08Z</dcterms:modified>
</cp:coreProperties>
</file>